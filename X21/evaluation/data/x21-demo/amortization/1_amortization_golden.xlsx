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spreadsheet\amortization\"/>
    </mc:Choice>
  </mc:AlternateContent>
  <xr:revisionPtr revIDLastSave="0" documentId="13_ncr:1_{7463CC1B-E14F-47D5-9AFB-09B3A0A75342}" xr6:coauthVersionLast="47" xr6:coauthVersionMax="47" xr10:uidLastSave="{00000000-0000-0000-0000-000000000000}"/>
  <bookViews>
    <workbookView xWindow="28680" yWindow="7260" windowWidth="29040" windowHeight="15720" xr2:uid="{B433F88B-BE43-49FC-BA82-4A58AEE0EC12}"/>
  </bookViews>
  <sheets>
    <sheet name="Amortiz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8" i="2" s="1"/>
  <c r="D8" i="2" s="1"/>
  <c r="F8" i="2" s="1"/>
  <c r="B9" i="2" s="1"/>
  <c r="E8" i="2"/>
  <c r="E9" i="2"/>
  <c r="E10" i="2"/>
  <c r="E11" i="2"/>
  <c r="E12" i="2"/>
  <c r="B5" i="2"/>
  <c r="C9" i="2" l="1"/>
  <c r="D9" i="2" s="1"/>
  <c r="F9" i="2"/>
  <c r="B10" i="2" s="1"/>
  <c r="C10" i="2" l="1"/>
  <c r="D10" i="2" s="1"/>
  <c r="F10" i="2"/>
  <c r="B11" i="2" s="1"/>
  <c r="C11" i="2" l="1"/>
  <c r="D11" i="2" s="1"/>
  <c r="F11" i="2"/>
  <c r="B12" i="2" s="1"/>
  <c r="C12" i="2" l="1"/>
  <c r="D12" i="2" s="1"/>
  <c r="F12" i="2" s="1"/>
</calcChain>
</file>

<file path=xl/sharedStrings.xml><?xml version="1.0" encoding="utf-8"?>
<sst xmlns="http://schemas.openxmlformats.org/spreadsheetml/2006/main" count="10" uniqueCount="10">
  <si>
    <t>Ending Balance</t>
  </si>
  <si>
    <t>Payment</t>
  </si>
  <si>
    <t>Principal</t>
  </si>
  <si>
    <t>Interest</t>
  </si>
  <si>
    <t>Beginning Balance</t>
  </si>
  <si>
    <t>Year</t>
  </si>
  <si>
    <t>Annual Payment:</t>
  </si>
  <si>
    <t>Term (Years):</t>
  </si>
  <si>
    <t>Annual Interest Rate:</t>
  </si>
  <si>
    <t>Loan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</si>
</sst>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9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CAF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1" fillId="0" borderId="0" xfId="1"/>
    <xf numFmtId="0" fontId="3" fillId="0" borderId="0" xfId="1" applyFont="1"/>
    <xf numFmtId="0" fontId="5" fillId="2" borderId="0" xfId="2" applyFont="1" applyFill="1"/>
    <xf numFmtId="0" fontId="6" fillId="2" borderId="0" xfId="2" applyFont="1" applyFill="1"/>
    <xf numFmtId="164" fontId="6" fillId="2" borderId="0" xfId="2" applyNumberFormat="1" applyFont="1" applyFill="1" applyAlignment="1">
      <alignment horizontal="center"/>
    </xf>
    <xf numFmtId="0" fontId="7" fillId="3" borderId="0" xfId="2" applyFont="1" applyFill="1"/>
    <xf numFmtId="10" fontId="2" fillId="3" borderId="0" xfId="1" applyNumberFormat="1" applyFont="1" applyFill="1"/>
    <xf numFmtId="0" fontId="2" fillId="3" borderId="0" xfId="1" applyFont="1" applyFill="1"/>
    <xf numFmtId="0" fontId="8" fillId="4" borderId="0" xfId="1" applyFont="1" applyFill="1" applyAlignment="1">
      <alignment horizontal="center"/>
    </xf>
    <xf numFmtId="4" fontId="2" fillId="3" borderId="0" xfId="1" applyNumberFormat="1" applyFont="1" applyFill="1"/>
    <xf numFmtId="4" fontId="1" fillId="0" borderId="0" xfId="1" applyNumberFormat="1"/>
    <xf numFmtId="4" fontId="8" fillId="4" borderId="0" xfId="1" applyNumberFormat="1" applyFont="1" applyFill="1" applyAlignment="1">
      <alignment horizontal="center"/>
    </xf>
  </cellXfs>
  <cellStyles count="3">
    <cellStyle name="Normal" xfId="0" builtinId="0"/>
    <cellStyle name="Normal 2" xfId="1" xr:uid="{0594D646-D237-4A88-A533-4D43ED5E14AE}"/>
    <cellStyle name="Normal 2 2" xfId="2" xr:uid="{4671F4EC-A618-40A6-8811-136FA5E27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1FAA-21C7-45ED-A1CD-31B70C4CDAB2}">
  <dimension ref="A1:F12"/>
  <sheetViews>
    <sheetView showGridLines="0" tabSelected="1" zoomScale="76" zoomScaleNormal="76" workbookViewId="0">
      <selection activeCell="A14" sqref="A14"/>
    </sheetView>
  </sheetViews>
  <sheetFormatPr defaultRowHeight="13.8" x14ac:dyDescent="0.3"/>
  <cols>
    <col min="1" max="1" width="24.88671875" style="1" customWidth="1"/>
    <col min="2" max="2" width="18.6640625" style="1" customWidth="1"/>
    <col min="3" max="3" width="16.88671875" style="1" customWidth="1"/>
    <col min="4" max="4" width="23.44140625" style="1" customWidth="1"/>
    <col min="5" max="5" width="15.6640625" style="1" bestFit="1" customWidth="1"/>
    <col min="6" max="6" width="15.33203125" style="1" bestFit="1" customWidth="1"/>
    <col min="7" max="7" width="11.109375" style="1" bestFit="1" customWidth="1"/>
    <col min="8" max="8" width="15.33203125" style="1" bestFit="1" customWidth="1"/>
    <col min="9" max="9" width="12.109375" style="1" bestFit="1" customWidth="1"/>
    <col min="10" max="10" width="12.88671875" style="1" bestFit="1" customWidth="1"/>
    <col min="11" max="16384" width="8.88671875" style="1"/>
  </cols>
  <sheetData>
    <row r="1" spans="1:6" s="3" customFormat="1" ht="18" x14ac:dyDescent="0.35">
      <c r="B1" s="5"/>
      <c r="D1" s="4"/>
    </row>
    <row r="2" spans="1:6" x14ac:dyDescent="0.3">
      <c r="A2" s="6" t="s">
        <v>9</v>
      </c>
      <c r="B2" s="10">
        <v>100000</v>
      </c>
    </row>
    <row r="3" spans="1:6" ht="23.4" x14ac:dyDescent="0.45">
      <c r="A3" s="8" t="s">
        <v>8</v>
      </c>
      <c r="B3" s="7">
        <v>0.05</v>
      </c>
      <c r="D3" s="2"/>
    </row>
    <row r="4" spans="1:6" x14ac:dyDescent="0.3">
      <c r="A4" s="8" t="s">
        <v>7</v>
      </c>
      <c r="B4" s="10">
        <v>5</v>
      </c>
    </row>
    <row r="5" spans="1:6" x14ac:dyDescent="0.3">
      <c r="A5" s="8" t="s">
        <v>6</v>
      </c>
      <c r="B5" s="10">
        <f>PMT(B3,B4,-B2)</f>
        <v>23097.479812826812</v>
      </c>
    </row>
    <row r="6" spans="1:6" x14ac:dyDescent="0.3">
      <c r="B6" s="11"/>
    </row>
    <row r="7" spans="1:6" x14ac:dyDescent="0.3">
      <c r="A7" s="9" t="s">
        <v>5</v>
      </c>
      <c r="B7" s="12" t="s">
        <v>4</v>
      </c>
      <c r="C7" s="9" t="s">
        <v>3</v>
      </c>
      <c r="D7" s="9" t="s">
        <v>2</v>
      </c>
      <c r="E7" s="9" t="s">
        <v>1</v>
      </c>
      <c r="F7" s="9" t="s">
        <v>0</v>
      </c>
    </row>
    <row r="8" spans="1:6" x14ac:dyDescent="0.3">
      <c r="A8" s="1">
        <v>1</v>
      </c>
      <c r="B8" s="11">
        <f>$B$2</f>
        <v>100000</v>
      </c>
      <c r="C8" s="11">
        <f>B8*$B$3</f>
        <v>5000</v>
      </c>
      <c r="D8" s="11">
        <f>$B$5-C8</f>
        <v>18097.479812826812</v>
      </c>
      <c r="E8" s="11">
        <f>$B$5</f>
        <v>23097.479812826812</v>
      </c>
      <c r="F8" s="11">
        <f>B8-D8</f>
        <v>81902.520187173184</v>
      </c>
    </row>
    <row r="9" spans="1:6" x14ac:dyDescent="0.3">
      <c r="A9" s="1">
        <v>2</v>
      </c>
      <c r="B9" s="11">
        <f>F8</f>
        <v>81902.520187173184</v>
      </c>
      <c r="C9" s="11">
        <f>B9*$B$3</f>
        <v>4095.1260093586593</v>
      </c>
      <c r="D9" s="11">
        <f>$B$5-C9</f>
        <v>19002.353803468151</v>
      </c>
      <c r="E9" s="11">
        <f>$B$5</f>
        <v>23097.479812826812</v>
      </c>
      <c r="F9" s="11">
        <f>B9-D9</f>
        <v>62900.166383705029</v>
      </c>
    </row>
    <row r="10" spans="1:6" x14ac:dyDescent="0.3">
      <c r="A10" s="1">
        <v>3</v>
      </c>
      <c r="B10" s="11">
        <f>F9</f>
        <v>62900.166383705029</v>
      </c>
      <c r="C10" s="11">
        <f>B10*$B$3</f>
        <v>3145.0083191852518</v>
      </c>
      <c r="D10" s="11">
        <f>$B$5-C10</f>
        <v>19952.471493641562</v>
      </c>
      <c r="E10" s="11">
        <f>$B$5</f>
        <v>23097.479812826812</v>
      </c>
      <c r="F10" s="11">
        <f>B10-D10</f>
        <v>42947.694890063467</v>
      </c>
    </row>
    <row r="11" spans="1:6" x14ac:dyDescent="0.3">
      <c r="A11" s="1">
        <v>4</v>
      </c>
      <c r="B11" s="11">
        <f>F10</f>
        <v>42947.694890063467</v>
      </c>
      <c r="C11" s="11">
        <f>B11*$B$3</f>
        <v>2147.3847445031734</v>
      </c>
      <c r="D11" s="11">
        <f>$B$5-C11</f>
        <v>20950.095068323637</v>
      </c>
      <c r="E11" s="11">
        <f>$B$5</f>
        <v>23097.479812826812</v>
      </c>
      <c r="F11" s="11">
        <f>B11-D11</f>
        <v>21997.59982173983</v>
      </c>
    </row>
    <row r="12" spans="1:6" x14ac:dyDescent="0.3">
      <c r="A12" s="1">
        <v>5</v>
      </c>
      <c r="B12" s="11">
        <f>F11</f>
        <v>21997.59982173983</v>
      </c>
      <c r="C12" s="11">
        <f>B12*$B$3</f>
        <v>1099.8799910869916</v>
      </c>
      <c r="D12" s="11">
        <f>$B$5-C12</f>
        <v>21997.599821739819</v>
      </c>
      <c r="E12" s="11">
        <f>$B$5</f>
        <v>23097.479812826812</v>
      </c>
      <c r="F12" s="11">
        <f>B12-D12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2025-12-08T20:18:34Z</dcterms:created>
  <dcterms:modified xsi:type="dcterms:W3CDTF">2025-12-10T08:36:58Z</dcterms:modified>
</cp:coreProperties>
</file>