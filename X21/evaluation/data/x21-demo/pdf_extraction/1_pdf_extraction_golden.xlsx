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pdf_extraction\"/>
    </mc:Choice>
  </mc:AlternateContent>
  <xr:revisionPtr revIDLastSave="0" documentId="13_ncr:1_{19D2E91F-F87F-4919-9716-8B0BA2A59BFE}" xr6:coauthVersionLast="47" xr6:coauthVersionMax="47" xr10:uidLastSave="{00000000-0000-0000-0000-000000000000}"/>
  <bookViews>
    <workbookView xWindow="-105" yWindow="0" windowWidth="14610" windowHeight="15585" xr2:uid="{AC9235D4-1368-4E23-BCF5-8B4A0378936D}"/>
  </bookViews>
  <sheets>
    <sheet name="From PDF or Tex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G11" i="2"/>
  <c r="F16" i="2"/>
  <c r="G16" i="2"/>
  <c r="F18" i="2"/>
  <c r="G18" i="2"/>
  <c r="F23" i="2"/>
  <c r="G23" i="2"/>
  <c r="G26" i="2" s="1"/>
  <c r="G29" i="2" s="1"/>
  <c r="F26" i="2"/>
  <c r="F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Mechtel</author>
  </authors>
  <commentList>
    <comment ref="D4" authorId="0" shapeId="0" xr:uid="{17AE3B94-2EDC-41B5-90DA-7FD528726FB4}">
      <text>
        <r>
          <rPr>
            <b/>
            <sz val="9"/>
            <color indexed="81"/>
            <rFont val="Tahoma"/>
            <family val="2"/>
          </rPr>
          <t>Jan Mechtel:</t>
        </r>
        <r>
          <rPr>
            <sz val="9"/>
            <color indexed="81"/>
            <rFont val="Tahoma"/>
            <family val="2"/>
          </rPr>
          <t xml:space="preserve">
Original: https://microsoft.gcs-web.com/static-files/f96f7d38-36ce-4a26-9e29-61701cdca7a7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<sst xmlns="http://schemas.openxmlformats.org/spreadsheetml/2006/main" count="27" uniqueCount="23">
  <si>
    <t>Diluted</t>
  </si>
  <si>
    <t>Basic</t>
  </si>
  <si>
    <t>Weighted average shares outstanding:</t>
  </si>
  <si>
    <t>Earnings per share:</t>
  </si>
  <si>
    <t>Net income</t>
  </si>
  <si>
    <t>Provision for income taxes</t>
  </si>
  <si>
    <t>Income before income taxes</t>
  </si>
  <si>
    <t>Other income (expense), net</t>
  </si>
  <si>
    <t>Operating income</t>
  </si>
  <si>
    <t>General and administrative</t>
  </si>
  <si>
    <t>Sales and marketing</t>
  </si>
  <si>
    <t>Research and development</t>
  </si>
  <si>
    <t>Gross margin</t>
  </si>
  <si>
    <t>Total cost of revenue</t>
  </si>
  <si>
    <t>Service and other</t>
  </si>
  <si>
    <t>Product</t>
  </si>
  <si>
    <t>Cost of revenue:</t>
  </si>
  <si>
    <t>Total revenue</t>
  </si>
  <si>
    <t>Revenue:</t>
  </si>
  <si>
    <t>Three Months Ended September 30,</t>
  </si>
  <si>
    <t>Microsoft Income Statement</t>
  </si>
  <si>
    <t>Optional attach this PDF:</t>
  </si>
  <si>
    <t>I. INPUTS - From PDF or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</si>
</sst>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0"/>
      <color indexed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1"/>
    <xf numFmtId="3" fontId="1" fillId="0" borderId="0" xfId="1" applyNumberFormat="1"/>
    <xf numFmtId="0" fontId="2" fillId="0" borderId="0" xfId="1" applyFont="1"/>
    <xf numFmtId="2" fontId="1" fillId="0" borderId="0" xfId="1" applyNumberFormat="1"/>
    <xf numFmtId="3" fontId="2" fillId="0" borderId="0" xfId="1" applyNumberFormat="1" applyFont="1"/>
    <xf numFmtId="0" fontId="2" fillId="0" borderId="0" xfId="1" applyFont="1" applyAlignment="1">
      <alignment horizontal="center"/>
    </xf>
    <xf numFmtId="0" fontId="3" fillId="0" borderId="0" xfId="2"/>
    <xf numFmtId="0" fontId="5" fillId="2" borderId="0" xfId="3" applyFont="1" applyFill="1"/>
    <xf numFmtId="0" fontId="6" fillId="2" borderId="0" xfId="3" applyFont="1" applyFill="1"/>
    <xf numFmtId="0" fontId="5" fillId="2" borderId="0" xfId="3" applyFont="1" applyFill="1" applyAlignment="1">
      <alignment horizontal="center"/>
    </xf>
  </cellXfs>
  <cellStyles count="4">
    <cellStyle name="Hyperlink" xfId="2" builtinId="8"/>
    <cellStyle name="Normal" xfId="0" builtinId="0"/>
    <cellStyle name="Normal 2" xfId="1" xr:uid="{62B71D9F-332A-42A4-A3BB-3715FC77720B}"/>
    <cellStyle name="Normal 2 2" xfId="3" xr:uid="{94B71775-E38D-4921-9329-9ED881991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wnload.kontext21.com/0000950170-24-118967-Microsoft-Income-Statement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6923-DA85-48FC-95B8-DE4AA86E74DA}">
  <dimension ref="B1:G37"/>
  <sheetViews>
    <sheetView showGridLines="0" tabSelected="1" workbookViewId="0">
      <selection activeCell="G17" sqref="G17"/>
    </sheetView>
  </sheetViews>
  <sheetFormatPr defaultRowHeight="13.5" x14ac:dyDescent="0.25"/>
  <cols>
    <col min="1" max="3" width="2.85546875" style="1" customWidth="1"/>
    <col min="4" max="4" width="23.42578125" style="1" customWidth="1"/>
    <col min="5" max="5" width="15.7109375" style="1" bestFit="1" customWidth="1"/>
    <col min="6" max="6" width="15.28515625" style="1" bestFit="1" customWidth="1"/>
    <col min="7" max="7" width="11.140625" style="1" bestFit="1" customWidth="1"/>
    <col min="8" max="8" width="15.28515625" style="1" bestFit="1" customWidth="1"/>
    <col min="9" max="9" width="12.140625" style="1" bestFit="1" customWidth="1"/>
    <col min="10" max="10" width="12.85546875" style="1" bestFit="1" customWidth="1"/>
    <col min="11" max="16384" width="9.140625" style="1"/>
  </cols>
  <sheetData>
    <row r="1" spans="2:7" s="8" customFormat="1" ht="18.75" x14ac:dyDescent="0.3">
      <c r="B1" s="10" t="e" vm="1">
        <v>#VALUE!</v>
      </c>
      <c r="D1" s="9" t="s">
        <v>22</v>
      </c>
    </row>
    <row r="4" spans="2:7" x14ac:dyDescent="0.25">
      <c r="D4" s="1" t="s">
        <v>21</v>
      </c>
      <c r="E4" s="7" t="s">
        <v>20</v>
      </c>
    </row>
    <row r="6" spans="2:7" x14ac:dyDescent="0.25">
      <c r="D6" s="6" t="s">
        <v>19</v>
      </c>
      <c r="E6" s="6"/>
      <c r="F6" s="6">
        <v>2024</v>
      </c>
      <c r="G6" s="6">
        <v>2023</v>
      </c>
    </row>
    <row r="8" spans="2:7" x14ac:dyDescent="0.25">
      <c r="D8" s="3" t="s">
        <v>18</v>
      </c>
    </row>
    <row r="9" spans="2:7" x14ac:dyDescent="0.25">
      <c r="D9" s="1" t="s">
        <v>15</v>
      </c>
      <c r="F9" s="2">
        <v>15272</v>
      </c>
      <c r="G9" s="2">
        <v>15535</v>
      </c>
    </row>
    <row r="10" spans="2:7" x14ac:dyDescent="0.25">
      <c r="D10" s="1" t="s">
        <v>14</v>
      </c>
      <c r="F10" s="2">
        <v>50313</v>
      </c>
      <c r="G10" s="2">
        <v>40982</v>
      </c>
    </row>
    <row r="11" spans="2:7" x14ac:dyDescent="0.25">
      <c r="D11" s="3" t="s">
        <v>17</v>
      </c>
      <c r="E11" s="3"/>
      <c r="F11" s="5">
        <f>F9+F10</f>
        <v>65585</v>
      </c>
      <c r="G11" s="5">
        <f>G9+G10</f>
        <v>56517</v>
      </c>
    </row>
    <row r="12" spans="2:7" x14ac:dyDescent="0.25">
      <c r="F12" s="2"/>
      <c r="G12" s="2"/>
    </row>
    <row r="13" spans="2:7" x14ac:dyDescent="0.25">
      <c r="D13" s="3" t="s">
        <v>16</v>
      </c>
      <c r="F13" s="2"/>
      <c r="G13" s="2"/>
    </row>
    <row r="14" spans="2:7" x14ac:dyDescent="0.25">
      <c r="D14" s="1" t="s">
        <v>15</v>
      </c>
      <c r="F14" s="2">
        <v>3294</v>
      </c>
      <c r="G14" s="2">
        <v>3531</v>
      </c>
    </row>
    <row r="15" spans="2:7" x14ac:dyDescent="0.25">
      <c r="D15" s="1" t="s">
        <v>14</v>
      </c>
      <c r="F15" s="2">
        <v>16805</v>
      </c>
      <c r="G15" s="2">
        <v>12771</v>
      </c>
    </row>
    <row r="16" spans="2:7" x14ac:dyDescent="0.25">
      <c r="D16" s="3" t="s">
        <v>13</v>
      </c>
      <c r="E16" s="3"/>
      <c r="F16" s="5">
        <f>F14+F15</f>
        <v>20099</v>
      </c>
      <c r="G16" s="5">
        <f>G14+G15</f>
        <v>16302</v>
      </c>
    </row>
    <row r="17" spans="4:7" x14ac:dyDescent="0.25">
      <c r="F17" s="2"/>
      <c r="G17" s="2"/>
    </row>
    <row r="18" spans="4:7" x14ac:dyDescent="0.25">
      <c r="D18" s="3" t="s">
        <v>12</v>
      </c>
      <c r="E18" s="3"/>
      <c r="F18" s="5">
        <f>F11-F16</f>
        <v>45486</v>
      </c>
      <c r="G18" s="5">
        <f>G11-G16</f>
        <v>40215</v>
      </c>
    </row>
    <row r="19" spans="4:7" x14ac:dyDescent="0.25">
      <c r="D19" s="1" t="s">
        <v>11</v>
      </c>
      <c r="F19" s="2">
        <v>7544</v>
      </c>
      <c r="G19" s="2">
        <v>6659</v>
      </c>
    </row>
    <row r="20" spans="4:7" x14ac:dyDescent="0.25">
      <c r="D20" s="1" t="s">
        <v>10</v>
      </c>
      <c r="F20" s="2">
        <v>5717</v>
      </c>
      <c r="G20" s="2">
        <v>5187</v>
      </c>
    </row>
    <row r="21" spans="4:7" x14ac:dyDescent="0.25">
      <c r="D21" s="1" t="s">
        <v>9</v>
      </c>
      <c r="F21" s="2">
        <v>1673</v>
      </c>
      <c r="G21" s="2">
        <v>1474</v>
      </c>
    </row>
    <row r="22" spans="4:7" x14ac:dyDescent="0.25">
      <c r="F22" s="2"/>
      <c r="G22" s="2"/>
    </row>
    <row r="23" spans="4:7" x14ac:dyDescent="0.25">
      <c r="D23" s="3" t="s">
        <v>8</v>
      </c>
      <c r="E23" s="3"/>
      <c r="F23" s="5">
        <f>F18-F19-F20-F21</f>
        <v>30552</v>
      </c>
      <c r="G23" s="5">
        <f>G18-G19-G20-G21</f>
        <v>26895</v>
      </c>
    </row>
    <row r="24" spans="4:7" x14ac:dyDescent="0.25">
      <c r="D24" s="1" t="s">
        <v>7</v>
      </c>
      <c r="F24" s="2">
        <v>-283</v>
      </c>
      <c r="G24" s="2">
        <v>389</v>
      </c>
    </row>
    <row r="26" spans="4:7" x14ac:dyDescent="0.25">
      <c r="D26" s="3" t="s">
        <v>6</v>
      </c>
      <c r="E26" s="3"/>
      <c r="F26" s="5">
        <f>F23+F24</f>
        <v>30269</v>
      </c>
      <c r="G26" s="5">
        <f>G23+G24</f>
        <v>27284</v>
      </c>
    </row>
    <row r="27" spans="4:7" x14ac:dyDescent="0.25">
      <c r="D27" s="1" t="s">
        <v>5</v>
      </c>
      <c r="F27" s="2">
        <v>5602</v>
      </c>
      <c r="G27" s="2">
        <v>4993</v>
      </c>
    </row>
    <row r="29" spans="4:7" x14ac:dyDescent="0.25">
      <c r="D29" s="3" t="s">
        <v>4</v>
      </c>
      <c r="E29" s="3"/>
      <c r="F29" s="5">
        <f>F26-F27</f>
        <v>24667</v>
      </c>
      <c r="G29" s="5">
        <f>G26-G27</f>
        <v>22291</v>
      </c>
    </row>
    <row r="30" spans="4:7" x14ac:dyDescent="0.25">
      <c r="F30" s="2"/>
      <c r="G30" s="2"/>
    </row>
    <row r="31" spans="4:7" x14ac:dyDescent="0.25">
      <c r="D31" s="3" t="s">
        <v>3</v>
      </c>
      <c r="F31" s="2"/>
      <c r="G31" s="2"/>
    </row>
    <row r="32" spans="4:7" x14ac:dyDescent="0.25">
      <c r="D32" s="1" t="s">
        <v>1</v>
      </c>
      <c r="F32" s="4">
        <v>3.32</v>
      </c>
      <c r="G32" s="4">
        <v>3</v>
      </c>
    </row>
    <row r="33" spans="4:7" x14ac:dyDescent="0.25">
      <c r="D33" s="1" t="s">
        <v>0</v>
      </c>
      <c r="F33" s="4">
        <v>3.3</v>
      </c>
      <c r="G33" s="4">
        <v>2.99</v>
      </c>
    </row>
    <row r="34" spans="4:7" x14ac:dyDescent="0.25">
      <c r="F34" s="2"/>
      <c r="G34" s="2"/>
    </row>
    <row r="35" spans="4:7" x14ac:dyDescent="0.25">
      <c r="D35" s="3" t="s">
        <v>2</v>
      </c>
      <c r="F35" s="2"/>
      <c r="G35" s="2"/>
    </row>
    <row r="36" spans="4:7" x14ac:dyDescent="0.25">
      <c r="D36" s="1" t="s">
        <v>1</v>
      </c>
      <c r="F36" s="2">
        <v>7433</v>
      </c>
      <c r="G36" s="2">
        <v>7429</v>
      </c>
    </row>
    <row r="37" spans="4:7" x14ac:dyDescent="0.25">
      <c r="D37" s="1" t="s">
        <v>0</v>
      </c>
      <c r="F37" s="2">
        <v>7470</v>
      </c>
      <c r="G37" s="2">
        <v>7462</v>
      </c>
    </row>
  </sheetData>
  <hyperlinks>
    <hyperlink ref="E4" r:id="rId1" xr:uid="{A89B71E4-F96F-4A29-8594-45633ACB4EB1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PDF or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2025-12-09T07:46:26Z</dcterms:created>
  <dcterms:modified xsi:type="dcterms:W3CDTF">2025-12-09T08:04:48Z</dcterms:modified>
</cp:coreProperties>
</file>