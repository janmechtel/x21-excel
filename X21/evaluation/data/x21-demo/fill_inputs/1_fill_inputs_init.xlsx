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fill_inputs\"/>
    </mc:Choice>
  </mc:AlternateContent>
  <xr:revisionPtr revIDLastSave="0" documentId="13_ncr:1_{8570650F-6926-43F4-93E2-34789430E3E9}" xr6:coauthVersionLast="47" xr6:coauthVersionMax="47" xr10:uidLastSave="{00000000-0000-0000-0000-000000000000}"/>
  <bookViews>
    <workbookView xWindow="-108" yWindow="-108" windowWidth="23256" windowHeight="12456" xr2:uid="{14B86A27-42A2-4E8E-B484-FF4BC14A03F5}"/>
  </bookViews>
  <sheets>
    <sheet name="Fill Inputs" sheetId="2" r:id="rId1"/>
    <sheet name="Source Actua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G4" i="2" s="1"/>
  <c r="H4" i="2" s="1"/>
  <c r="I4" i="2" s="1"/>
  <c r="J4" i="2" s="1"/>
  <c r="K4" i="2" s="1"/>
  <c r="L4" i="2" s="1"/>
  <c r="E6" i="2"/>
  <c r="F6" i="2"/>
  <c r="G6" i="2"/>
  <c r="H6" i="2"/>
  <c r="F7" i="2"/>
  <c r="G7" i="2"/>
  <c r="F12" i="2"/>
  <c r="G12" i="2"/>
  <c r="E14" i="2"/>
  <c r="F14" i="2"/>
  <c r="G14" i="2"/>
  <c r="F15" i="2"/>
  <c r="G15" i="2"/>
  <c r="E17" i="2"/>
  <c r="H17" i="2" s="1"/>
  <c r="I17" i="2" s="1"/>
  <c r="F17" i="2"/>
  <c r="G17" i="2"/>
  <c r="E18" i="2"/>
  <c r="F18" i="2"/>
  <c r="G18" i="2"/>
  <c r="G19" i="2"/>
  <c r="G21" i="2"/>
  <c r="G22" i="2"/>
  <c r="F24" i="2"/>
  <c r="G24" i="2"/>
  <c r="F26" i="2"/>
  <c r="G26" i="2" s="1"/>
  <c r="H26" i="2" s="1"/>
  <c r="I26" i="2" s="1"/>
  <c r="J26" i="2" s="1"/>
  <c r="K26" i="2" s="1"/>
  <c r="L26" i="2" s="1"/>
  <c r="E30" i="2"/>
  <c r="E19" i="2" s="1"/>
  <c r="F30" i="2"/>
  <c r="F19" i="2" s="1"/>
  <c r="E35" i="2"/>
  <c r="F35" i="2"/>
  <c r="H37" i="2"/>
  <c r="I37" i="2"/>
  <c r="H38" i="2"/>
  <c r="I38" i="2"/>
  <c r="H39" i="2"/>
  <c r="I39" i="2"/>
  <c r="E40" i="2"/>
  <c r="E44" i="2" s="1"/>
  <c r="F40" i="2"/>
  <c r="F44" i="2" s="1"/>
  <c r="H40" i="2"/>
  <c r="H44" i="2" s="1"/>
  <c r="I40" i="2"/>
  <c r="I44" i="2" s="1"/>
  <c r="H42" i="2"/>
  <c r="I42" i="2"/>
  <c r="I45" i="2" l="1"/>
  <c r="I46" i="2"/>
  <c r="F22" i="2"/>
  <c r="F46" i="2"/>
  <c r="H45" i="2"/>
  <c r="H46" i="2"/>
  <c r="E22" i="2"/>
  <c r="E46" i="2"/>
  <c r="E21" i="2"/>
  <c r="F2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<sst xmlns="http://schemas.openxmlformats.org/spreadsheetml/2006/main" count="60" uniqueCount="58">
  <si>
    <t>Total Debt:</t>
  </si>
  <si>
    <t>Balance Sheet</t>
  </si>
  <si>
    <t>Net Income to Parent:</t>
  </si>
  <si>
    <t>(-) NCI Net Income:</t>
  </si>
  <si>
    <t>Net Income:</t>
  </si>
  <si>
    <t>Income Taxes:</t>
  </si>
  <si>
    <t>Pre-Tax Income:</t>
  </si>
  <si>
    <t>Interest Income / (Expense):</t>
  </si>
  <si>
    <t>Non-Service Pension Expense:</t>
  </si>
  <si>
    <t>Other Income / (Expense):</t>
  </si>
  <si>
    <t>Operating Income:</t>
  </si>
  <si>
    <t>Operating Expenses:</t>
  </si>
  <si>
    <t>Cost of Services:</t>
  </si>
  <si>
    <t>Cost of Products:</t>
  </si>
  <si>
    <t>Total Revenue:</t>
  </si>
  <si>
    <t>Services:</t>
  </si>
  <si>
    <t>Products:</t>
  </si>
  <si>
    <t>Income Statement:</t>
  </si>
  <si>
    <t>Interest Expense % Debt:</t>
  </si>
  <si>
    <t>NCI Net Income % Total:</t>
  </si>
  <si>
    <t>Tax Rate:</t>
  </si>
  <si>
    <t>OpEx % Revenue:</t>
  </si>
  <si>
    <t>Service - COGS % Revenue:</t>
  </si>
  <si>
    <t>Product - COGS % Revenue:</t>
  </si>
  <si>
    <t>Growth Rate:</t>
  </si>
  <si>
    <t>Revenue per Service Unit:</t>
  </si>
  <si>
    <t>Service Units (Maintenance):</t>
  </si>
  <si>
    <t>New Equipment Market Share:</t>
  </si>
  <si>
    <t>New Equipment Market Size:</t>
  </si>
  <si>
    <t>Drivers:</t>
  </si>
  <si>
    <t>Forecast</t>
  </si>
  <si>
    <t>Actuals</t>
  </si>
  <si>
    <t>II. MODELLING - Fill inputs</t>
  </si>
  <si>
    <t>Diluted shares</t>
  </si>
  <si>
    <t>Basic shares</t>
  </si>
  <si>
    <t>Weighted average number of shares outstanding</t>
  </si>
  <si>
    <t>Diluted</t>
  </si>
  <si>
    <t>Basic</t>
  </si>
  <si>
    <t>Earnings per share (Note 3):</t>
  </si>
  <si>
    <t>Net income attributable to Otis Worldwide Corporation</t>
  </si>
  <si>
    <t>Less: Noncontrolling interest in subsidiaries' earnings</t>
  </si>
  <si>
    <t>Net income</t>
  </si>
  <si>
    <t>Income tax expense</t>
  </si>
  <si>
    <t>Net income before income taxes</t>
  </si>
  <si>
    <t>Interest expense (income), net</t>
  </si>
  <si>
    <t>Non-service pension cost (benefit)</t>
  </si>
  <si>
    <t>Operating profit</t>
  </si>
  <si>
    <t>Other income (expense), net</t>
  </si>
  <si>
    <t>Selling, general and administrative</t>
  </si>
  <si>
    <t>Research and development</t>
  </si>
  <si>
    <t>Cost of services sold</t>
  </si>
  <si>
    <t>Cost of products sold</t>
  </si>
  <si>
    <t>Costs and expenses:</t>
  </si>
  <si>
    <t>Service sales</t>
  </si>
  <si>
    <t>Product sales</t>
  </si>
  <si>
    <t>Net sales:</t>
  </si>
  <si>
    <t>(dollars in millions, except per share amounts)</t>
  </si>
  <si>
    <t>Actuals (Source)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</si>
</sst>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&quot;FY&quot;\ yy"/>
    <numFmt numFmtId="166" formatCode="_(&quot;$&quot;* #,##0_);_(&quot;$&quot;* \(#,##0\);_(&quot;$&quot;* &quot;-&quot;_);_(@_)"/>
    <numFmt numFmtId="167" formatCode="0.0%;\(0.0%\)"/>
    <numFmt numFmtId="168" formatCode="0.0%"/>
    <numFmt numFmtId="169" formatCode="_(\$* #,##0.00_);_(\$* \(#,##0.00\);_(\$* \-??_);_(@_)"/>
    <numFmt numFmtId="170" formatCode="_(\$* #,##0_);_(\$* \(#,##0\);_(\$* \-_);_(@_)"/>
    <numFmt numFmtId="171" formatCode="\(#,##0_);[Red]\(#,##0\)"/>
  </numFmts>
  <fonts count="1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  <charset val="1"/>
    </font>
    <font>
      <b/>
      <i/>
      <sz val="11"/>
      <color indexed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10" fillId="0" borderId="0"/>
  </cellStyleXfs>
  <cellXfs count="56">
    <xf numFmtId="0" fontId="0" fillId="0" borderId="0" xfId="0"/>
    <xf numFmtId="0" fontId="1" fillId="0" borderId="0" xfId="1"/>
    <xf numFmtId="164" fontId="2" fillId="0" borderId="0" xfId="1" applyNumberFormat="1" applyFont="1"/>
    <xf numFmtId="164" fontId="3" fillId="0" borderId="0" xfId="1" applyNumberFormat="1" applyFont="1"/>
    <xf numFmtId="0" fontId="4" fillId="0" borderId="0" xfId="1" applyFont="1"/>
    <xf numFmtId="0" fontId="5" fillId="0" borderId="0" xfId="1" applyFont="1" applyAlignment="1">
      <alignment horizontal="left" indent="1"/>
    </xf>
    <xf numFmtId="165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/>
    <xf numFmtId="0" fontId="4" fillId="3" borderId="0" xfId="1" applyFont="1" applyFill="1"/>
    <xf numFmtId="166" fontId="7" fillId="4" borderId="2" xfId="1" applyNumberFormat="1" applyFont="1" applyFill="1" applyBorder="1"/>
    <xf numFmtId="166" fontId="7" fillId="0" borderId="2" xfId="1" applyNumberFormat="1" applyFont="1" applyBorder="1"/>
    <xf numFmtId="0" fontId="7" fillId="0" borderId="2" xfId="1" applyFont="1" applyBorder="1"/>
    <xf numFmtId="164" fontId="5" fillId="4" borderId="0" xfId="1" applyNumberFormat="1" applyFont="1" applyFill="1"/>
    <xf numFmtId="164" fontId="5" fillId="0" borderId="0" xfId="1" applyNumberFormat="1" applyFont="1"/>
    <xf numFmtId="164" fontId="3" fillId="4" borderId="0" xfId="1" applyNumberFormat="1" applyFont="1" applyFill="1"/>
    <xf numFmtId="164" fontId="7" fillId="4" borderId="0" xfId="1" applyNumberFormat="1" applyFont="1" applyFill="1"/>
    <xf numFmtId="164" fontId="7" fillId="0" borderId="0" xfId="1" applyNumberFormat="1" applyFont="1"/>
    <xf numFmtId="0" fontId="7" fillId="0" borderId="0" xfId="1" applyFont="1"/>
    <xf numFmtId="0" fontId="4" fillId="4" borderId="0" xfId="1" applyFont="1" applyFill="1"/>
    <xf numFmtId="3" fontId="4" fillId="4" borderId="0" xfId="1" applyNumberFormat="1" applyFont="1" applyFill="1"/>
    <xf numFmtId="0" fontId="5" fillId="0" borderId="0" xfId="1" applyFont="1"/>
    <xf numFmtId="164" fontId="7" fillId="4" borderId="2" xfId="1" applyNumberFormat="1" applyFont="1" applyFill="1" applyBorder="1"/>
    <xf numFmtId="164" fontId="7" fillId="0" borderId="2" xfId="1" applyNumberFormat="1" applyFont="1" applyBorder="1"/>
    <xf numFmtId="166" fontId="5" fillId="4" borderId="0" xfId="1" applyNumberFormat="1" applyFont="1" applyFill="1"/>
    <xf numFmtId="166" fontId="3" fillId="4" borderId="0" xfId="1" applyNumberFormat="1" applyFont="1" applyFill="1"/>
    <xf numFmtId="166" fontId="3" fillId="0" borderId="0" xfId="1" applyNumberFormat="1" applyFont="1"/>
    <xf numFmtId="167" fontId="3" fillId="0" borderId="0" xfId="1" applyNumberFormat="1" applyFont="1"/>
    <xf numFmtId="167" fontId="5" fillId="0" borderId="0" xfId="1" applyNumberFormat="1" applyFont="1"/>
    <xf numFmtId="167" fontId="4" fillId="0" borderId="0" xfId="1" applyNumberFormat="1" applyFont="1"/>
    <xf numFmtId="167" fontId="5" fillId="4" borderId="0" xfId="1" applyNumberFormat="1" applyFont="1" applyFill="1"/>
    <xf numFmtId="167" fontId="7" fillId="4" borderId="0" xfId="1" applyNumberFormat="1" applyFont="1" applyFill="1"/>
    <xf numFmtId="167" fontId="7" fillId="0" borderId="0" xfId="1" applyNumberFormat="1" applyFont="1"/>
    <xf numFmtId="168" fontId="3" fillId="0" borderId="0" xfId="1" applyNumberFormat="1" applyFont="1"/>
    <xf numFmtId="166" fontId="5" fillId="0" borderId="0" xfId="1" applyNumberFormat="1" applyFont="1"/>
    <xf numFmtId="2" fontId="5" fillId="4" borderId="0" xfId="1" applyNumberFormat="1" applyFont="1" applyFill="1"/>
    <xf numFmtId="2" fontId="3" fillId="0" borderId="0" xfId="1" applyNumberFormat="1" applyFont="1"/>
    <xf numFmtId="0" fontId="1" fillId="2" borderId="0" xfId="1" applyFill="1"/>
    <xf numFmtId="0" fontId="1" fillId="5" borderId="0" xfId="1" applyFill="1"/>
    <xf numFmtId="0" fontId="8" fillId="6" borderId="0" xfId="2" applyFont="1" applyFill="1"/>
    <xf numFmtId="0" fontId="9" fillId="6" borderId="0" xfId="2" applyFont="1" applyFill="1"/>
    <xf numFmtId="0" fontId="8" fillId="6" borderId="0" xfId="2" applyFont="1" applyFill="1" applyAlignment="1">
      <alignment horizontal="center"/>
    </xf>
    <xf numFmtId="4" fontId="11" fillId="0" borderId="0" xfId="3" applyNumberFormat="1" applyFont="1"/>
    <xf numFmtId="4" fontId="10" fillId="0" borderId="0" xfId="3" applyNumberFormat="1"/>
    <xf numFmtId="0" fontId="10" fillId="0" borderId="0" xfId="3"/>
    <xf numFmtId="169" fontId="11" fillId="0" borderId="0" xfId="3" applyNumberFormat="1" applyFont="1"/>
    <xf numFmtId="169" fontId="10" fillId="0" borderId="0" xfId="3" applyNumberFormat="1"/>
    <xf numFmtId="0" fontId="11" fillId="0" borderId="0" xfId="3" applyFont="1"/>
    <xf numFmtId="170" fontId="11" fillId="0" borderId="0" xfId="3" applyNumberFormat="1" applyFont="1"/>
    <xf numFmtId="170" fontId="10" fillId="0" borderId="0" xfId="3" applyNumberFormat="1"/>
    <xf numFmtId="3" fontId="11" fillId="0" borderId="0" xfId="3" applyNumberFormat="1" applyFont="1"/>
    <xf numFmtId="3" fontId="10" fillId="0" borderId="0" xfId="3" applyNumberFormat="1"/>
    <xf numFmtId="171" fontId="10" fillId="0" borderId="0" xfId="3" applyNumberFormat="1"/>
    <xf numFmtId="3" fontId="11" fillId="0" borderId="2" xfId="3" applyNumberFormat="1" applyFont="1" applyBorder="1"/>
    <xf numFmtId="171" fontId="10" fillId="0" borderId="2" xfId="3" applyNumberFormat="1" applyBorder="1"/>
    <xf numFmtId="3" fontId="10" fillId="0" borderId="2" xfId="3" applyNumberFormat="1" applyBorder="1"/>
    <xf numFmtId="0" fontId="12" fillId="0" borderId="0" xfId="3" applyFont="1"/>
  </cellXfs>
  <cellStyles count="4">
    <cellStyle name="Normal" xfId="0" builtinId="0"/>
    <cellStyle name="Normal 2" xfId="1" xr:uid="{55A9240E-2467-41C7-B0C9-2CC21B20FAA4}"/>
    <cellStyle name="Normal 2 2" xfId="2" xr:uid="{8CFDD02F-6480-451A-8531-75FD0B42601D}"/>
    <cellStyle name="Normal 4" xfId="3" xr:uid="{72EE2611-4493-4BF9-A57E-791A7A9C3B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1808-FFD3-4417-AB16-CF5877E8F243}">
  <dimension ref="B1:L49"/>
  <sheetViews>
    <sheetView showGridLines="0" tabSelected="1" topLeftCell="A30" workbookViewId="0">
      <selection activeCell="L49" sqref="L49"/>
    </sheetView>
  </sheetViews>
  <sheetFormatPr defaultRowHeight="13.8" x14ac:dyDescent="0.3"/>
  <cols>
    <col min="1" max="3" width="2.88671875" style="1" customWidth="1"/>
    <col min="4" max="4" width="18.5546875" style="1" customWidth="1"/>
    <col min="5" max="5" width="15.6640625" style="1" bestFit="1" customWidth="1"/>
    <col min="6" max="6" width="15.33203125" style="1" bestFit="1" customWidth="1"/>
    <col min="7" max="7" width="11.109375" style="1" bestFit="1" customWidth="1"/>
    <col min="8" max="8" width="15.33203125" style="1" bestFit="1" customWidth="1"/>
    <col min="9" max="9" width="12.109375" style="1" bestFit="1" customWidth="1"/>
    <col min="10" max="10" width="12.88671875" style="1" bestFit="1" customWidth="1"/>
    <col min="11" max="16384" width="8.88671875" style="1"/>
  </cols>
  <sheetData>
    <row r="1" spans="2:12" s="38" customFormat="1" ht="18" x14ac:dyDescent="0.35">
      <c r="B1" s="40" t="e" vm="1">
        <v>#VALUE!</v>
      </c>
      <c r="D1" s="39" t="s">
        <v>32</v>
      </c>
    </row>
    <row r="3" spans="2:12" x14ac:dyDescent="0.3">
      <c r="E3" s="37" t="s">
        <v>31</v>
      </c>
      <c r="F3" s="37"/>
      <c r="G3" s="37"/>
      <c r="H3" s="36" t="s">
        <v>30</v>
      </c>
      <c r="I3" s="36"/>
      <c r="J3" s="36"/>
      <c r="K3" s="36"/>
      <c r="L3" s="36"/>
    </row>
    <row r="4" spans="2:12" ht="15.6" x14ac:dyDescent="0.3">
      <c r="D4" s="7" t="s">
        <v>29</v>
      </c>
      <c r="E4" s="6">
        <v>44926</v>
      </c>
      <c r="F4" s="6">
        <f t="shared" ref="F4:L4" si="0">EOMONTH(E4,12)</f>
        <v>45291</v>
      </c>
      <c r="G4" s="6">
        <f t="shared" si="0"/>
        <v>45657</v>
      </c>
      <c r="H4" s="6">
        <f t="shared" si="0"/>
        <v>46022</v>
      </c>
      <c r="I4" s="6">
        <f t="shared" si="0"/>
        <v>46387</v>
      </c>
      <c r="J4" s="6">
        <f t="shared" si="0"/>
        <v>46752</v>
      </c>
      <c r="K4" s="6">
        <f t="shared" si="0"/>
        <v>47118</v>
      </c>
      <c r="L4" s="6">
        <f t="shared" si="0"/>
        <v>47483</v>
      </c>
    </row>
    <row r="5" spans="2:12" ht="15.6" x14ac:dyDescent="0.3">
      <c r="D5" s="4"/>
      <c r="E5" s="4"/>
      <c r="F5" s="4"/>
      <c r="G5" s="4"/>
      <c r="H5" s="4"/>
      <c r="I5" s="4"/>
      <c r="J5" s="4"/>
      <c r="K5" s="4"/>
      <c r="L5" s="4"/>
    </row>
    <row r="6" spans="2:12" ht="15.6" x14ac:dyDescent="0.3">
      <c r="D6" s="20" t="s">
        <v>28</v>
      </c>
      <c r="E6" s="33">
        <f>E28/E9</f>
        <v>35300</v>
      </c>
      <c r="F6" s="33">
        <f>F28/F9</f>
        <v>31594.117647058822</v>
      </c>
      <c r="G6" s="33">
        <f>G28/G9</f>
        <v>0</v>
      </c>
      <c r="H6" s="23">
        <f>IF(H9=0,0,H28/H9)</f>
        <v>0</v>
      </c>
      <c r="I6" s="23"/>
      <c r="J6" s="23"/>
      <c r="K6" s="23"/>
      <c r="L6" s="23"/>
    </row>
    <row r="7" spans="2:12" ht="15.6" x14ac:dyDescent="0.3">
      <c r="D7" s="5" t="s">
        <v>24</v>
      </c>
      <c r="E7" s="4"/>
      <c r="F7" s="27">
        <f>F6/E6-1</f>
        <v>-0.10498250291618072</v>
      </c>
      <c r="G7" s="27">
        <f>G6/F6-1</f>
        <v>-1</v>
      </c>
      <c r="H7" s="32">
        <v>0.05</v>
      </c>
      <c r="I7" s="32">
        <v>0.05</v>
      </c>
      <c r="J7" s="32">
        <v>0.04</v>
      </c>
      <c r="K7" s="32">
        <v>0.04</v>
      </c>
      <c r="L7" s="32">
        <v>0.03</v>
      </c>
    </row>
    <row r="8" spans="2:12" ht="15.6" x14ac:dyDescent="0.3">
      <c r="D8" s="4"/>
      <c r="E8" s="4"/>
      <c r="F8" s="4"/>
      <c r="G8" s="4"/>
      <c r="H8" s="4"/>
      <c r="I8" s="4"/>
      <c r="J8" s="4"/>
      <c r="K8" s="4"/>
      <c r="L8" s="4"/>
    </row>
    <row r="9" spans="2:12" ht="15.6" x14ac:dyDescent="0.3">
      <c r="D9" s="20" t="s">
        <v>27</v>
      </c>
      <c r="E9" s="32">
        <v>0.16</v>
      </c>
      <c r="F9" s="32">
        <v>0.17</v>
      </c>
      <c r="G9" s="32">
        <v>0.18</v>
      </c>
      <c r="H9" s="32">
        <v>0.18</v>
      </c>
      <c r="I9" s="32">
        <v>0.182</v>
      </c>
      <c r="J9" s="32">
        <v>0.184</v>
      </c>
      <c r="K9" s="32">
        <v>0.185</v>
      </c>
      <c r="L9" s="32">
        <v>0.185</v>
      </c>
    </row>
    <row r="10" spans="2:12" ht="15.6" x14ac:dyDescent="0.3">
      <c r="D10" s="4"/>
      <c r="E10" s="4"/>
      <c r="F10" s="4"/>
      <c r="G10" s="4"/>
      <c r="H10" s="4"/>
      <c r="I10" s="4"/>
      <c r="J10" s="4"/>
      <c r="K10" s="4"/>
      <c r="L10" s="4"/>
    </row>
    <row r="11" spans="2:12" ht="15.6" x14ac:dyDescent="0.3">
      <c r="D11" s="20" t="s">
        <v>26</v>
      </c>
      <c r="E11" s="35">
        <v>2</v>
      </c>
      <c r="F11" s="35">
        <v>2.1</v>
      </c>
      <c r="G11" s="35">
        <v>2.15</v>
      </c>
      <c r="H11" s="34"/>
      <c r="I11" s="34"/>
      <c r="J11" s="34"/>
      <c r="K11" s="34"/>
      <c r="L11" s="34"/>
    </row>
    <row r="12" spans="2:12" ht="15.6" x14ac:dyDescent="0.3">
      <c r="D12" s="5" t="s">
        <v>24</v>
      </c>
      <c r="E12" s="4"/>
      <c r="F12" s="27">
        <f>F11/E11-1</f>
        <v>5.0000000000000044E-2</v>
      </c>
      <c r="G12" s="27">
        <f>G11/F11-1</f>
        <v>2.3809523809523725E-2</v>
      </c>
      <c r="H12" s="32">
        <v>0.03</v>
      </c>
      <c r="I12" s="32">
        <v>0.03</v>
      </c>
      <c r="J12" s="32">
        <v>0.03</v>
      </c>
      <c r="K12" s="32">
        <v>0.03</v>
      </c>
      <c r="L12" s="32">
        <v>0.03</v>
      </c>
    </row>
    <row r="13" spans="2:12" ht="15.6" x14ac:dyDescent="0.3">
      <c r="D13" s="4"/>
      <c r="E13" s="4"/>
      <c r="F13" s="4"/>
      <c r="G13" s="4"/>
      <c r="H13" s="4"/>
      <c r="I13" s="4"/>
      <c r="J13" s="4"/>
      <c r="K13" s="4"/>
      <c r="L13" s="4"/>
    </row>
    <row r="14" spans="2:12" ht="15.6" x14ac:dyDescent="0.3">
      <c r="D14" s="20" t="s">
        <v>25</v>
      </c>
      <c r="E14" s="33">
        <f>E29/E11</f>
        <v>3735</v>
      </c>
      <c r="F14" s="33">
        <f>F29/F11</f>
        <v>3516.6666666666665</v>
      </c>
      <c r="G14" s="33">
        <f>G29/G11</f>
        <v>0</v>
      </c>
      <c r="H14" s="23"/>
      <c r="I14" s="23"/>
      <c r="J14" s="23"/>
      <c r="K14" s="23"/>
      <c r="L14" s="23"/>
    </row>
    <row r="15" spans="2:12" ht="15.6" x14ac:dyDescent="0.3">
      <c r="D15" s="5" t="s">
        <v>24</v>
      </c>
      <c r="E15" s="4"/>
      <c r="F15" s="27">
        <f>F14/E14-1</f>
        <v>-5.8456046407853623E-2</v>
      </c>
      <c r="G15" s="27">
        <f>G14/F14-1</f>
        <v>-1</v>
      </c>
      <c r="H15" s="32">
        <v>0.04</v>
      </c>
      <c r="I15" s="32">
        <v>3.5000000000000003E-2</v>
      </c>
      <c r="J15" s="32">
        <v>3.5000000000000003E-2</v>
      </c>
      <c r="K15" s="32">
        <v>0.03</v>
      </c>
      <c r="L15" s="32">
        <v>0.03</v>
      </c>
    </row>
    <row r="16" spans="2:12" ht="15.6" x14ac:dyDescent="0.3">
      <c r="D16" s="4"/>
      <c r="E16" s="4"/>
      <c r="F16" s="4"/>
      <c r="G16" s="4"/>
      <c r="H16" s="4"/>
      <c r="I16" s="4"/>
      <c r="J16" s="4"/>
      <c r="K16" s="4"/>
      <c r="L16" s="4"/>
    </row>
    <row r="17" spans="4:12" ht="15.6" x14ac:dyDescent="0.3">
      <c r="D17" s="20" t="s">
        <v>23</v>
      </c>
      <c r="E17" s="27">
        <f t="shared" ref="E17:F19" si="1">-E32/E28</f>
        <v>0.82152974504249288</v>
      </c>
      <c r="F17" s="27">
        <f t="shared" si="1"/>
        <v>0.82647551666356356</v>
      </c>
      <c r="G17" s="27">
        <f>IF(G28=0,0,-G32/G28)</f>
        <v>0</v>
      </c>
      <c r="H17" s="31">
        <f>AVERAGE(E17:F17)</f>
        <v>0.82400263085302816</v>
      </c>
      <c r="I17" s="27">
        <f>H17</f>
        <v>0.82400263085302816</v>
      </c>
      <c r="J17" s="29"/>
      <c r="K17" s="29"/>
      <c r="L17" s="29"/>
    </row>
    <row r="18" spans="4:12" ht="15.6" x14ac:dyDescent="0.3">
      <c r="D18" s="20" t="s">
        <v>22</v>
      </c>
      <c r="E18" s="27">
        <f t="shared" si="1"/>
        <v>0.62275769745649268</v>
      </c>
      <c r="F18" s="27">
        <f t="shared" si="1"/>
        <v>0.61448882870683819</v>
      </c>
      <c r="G18" s="27">
        <f>IF(G29=0,0,-G33/G29)</f>
        <v>0</v>
      </c>
      <c r="H18" s="30"/>
      <c r="I18" s="29"/>
      <c r="J18" s="29"/>
      <c r="K18" s="29"/>
      <c r="L18" s="29"/>
    </row>
    <row r="19" spans="4:12" ht="15.6" x14ac:dyDescent="0.3">
      <c r="D19" s="20" t="s">
        <v>21</v>
      </c>
      <c r="E19" s="27">
        <f t="shared" si="1"/>
        <v>0.15040402500381156</v>
      </c>
      <c r="F19" s="27">
        <f t="shared" si="1"/>
        <v>0.16274694261523989</v>
      </c>
      <c r="G19" s="27">
        <f>IF(G30=0,0,-G34/G30)</f>
        <v>0</v>
      </c>
      <c r="H19" s="30"/>
      <c r="I19" s="29"/>
      <c r="J19" s="29"/>
      <c r="K19" s="29"/>
      <c r="L19" s="29"/>
    </row>
    <row r="20" spans="4:12" ht="15.6" x14ac:dyDescent="0.3">
      <c r="D20" s="4"/>
      <c r="E20" s="4"/>
      <c r="F20" s="4"/>
      <c r="G20" s="4"/>
      <c r="H20" s="4"/>
      <c r="I20" s="4"/>
      <c r="J20" s="4"/>
      <c r="K20" s="4"/>
      <c r="L20" s="4"/>
    </row>
    <row r="21" spans="4:12" ht="15.6" x14ac:dyDescent="0.3">
      <c r="D21" s="20" t="s">
        <v>20</v>
      </c>
      <c r="E21" s="27">
        <f>-E42/E40</f>
        <v>0.31918323481998923</v>
      </c>
      <c r="F21" s="27">
        <f>-F42/F40</f>
        <v>0.3011250827266711</v>
      </c>
      <c r="G21" s="27">
        <f>IF(G40=0,0,-G42/G40)</f>
        <v>0</v>
      </c>
      <c r="H21" s="30"/>
      <c r="I21" s="29"/>
      <c r="J21" s="29"/>
      <c r="K21" s="29"/>
      <c r="L21" s="29"/>
    </row>
    <row r="22" spans="4:12" ht="15.6" x14ac:dyDescent="0.3">
      <c r="D22" s="20" t="s">
        <v>19</v>
      </c>
      <c r="E22" s="27">
        <f>-E45/E44</f>
        <v>0.11917916337805841</v>
      </c>
      <c r="F22" s="27">
        <f>-F45/F44</f>
        <v>0.14204545454545456</v>
      </c>
      <c r="G22" s="27">
        <f>IF(G44=0,0,-G45/G44)</f>
        <v>0</v>
      </c>
      <c r="H22" s="30"/>
      <c r="I22" s="29"/>
      <c r="J22" s="29"/>
      <c r="K22" s="29"/>
      <c r="L22" s="29"/>
    </row>
    <row r="23" spans="4:12" ht="15.6" x14ac:dyDescent="0.3">
      <c r="D23" s="4"/>
      <c r="E23" s="4"/>
      <c r="F23" s="4"/>
      <c r="G23" s="4"/>
      <c r="H23" s="4"/>
      <c r="I23" s="4"/>
      <c r="J23" s="4"/>
      <c r="K23" s="4"/>
      <c r="L23" s="4"/>
    </row>
    <row r="24" spans="4:12" ht="15.6" x14ac:dyDescent="0.3">
      <c r="D24" s="20" t="s">
        <v>18</v>
      </c>
      <c r="E24" s="28"/>
      <c r="F24" s="27">
        <f>-F39/F49</f>
        <v>2.0459500251551233E-2</v>
      </c>
      <c r="G24" s="27">
        <f>-G39/G49</f>
        <v>0</v>
      </c>
      <c r="H24" s="26">
        <v>2.5000000000000001E-2</v>
      </c>
      <c r="I24" s="26">
        <v>0.03</v>
      </c>
      <c r="J24" s="26">
        <v>0.03</v>
      </c>
      <c r="K24" s="26">
        <v>3.5000000000000003E-2</v>
      </c>
      <c r="L24" s="26">
        <v>3.5000000000000003E-2</v>
      </c>
    </row>
    <row r="25" spans="4:12" ht="15.6" x14ac:dyDescent="0.3">
      <c r="D25" s="4"/>
      <c r="E25" s="4"/>
      <c r="F25" s="4"/>
      <c r="G25" s="4"/>
      <c r="H25" s="4"/>
      <c r="I25" s="4"/>
      <c r="J25" s="4"/>
      <c r="K25" s="4"/>
      <c r="L25" s="4"/>
    </row>
    <row r="26" spans="4:12" ht="15.6" x14ac:dyDescent="0.3">
      <c r="D26" s="7" t="s">
        <v>17</v>
      </c>
      <c r="E26" s="6">
        <v>44926</v>
      </c>
      <c r="F26" s="6">
        <f t="shared" ref="F26:L26" si="2">EOMONTH(E26,12)</f>
        <v>45291</v>
      </c>
      <c r="G26" s="6">
        <f t="shared" si="2"/>
        <v>45657</v>
      </c>
      <c r="H26" s="6">
        <f t="shared" si="2"/>
        <v>46022</v>
      </c>
      <c r="I26" s="6">
        <f t="shared" si="2"/>
        <v>46387</v>
      </c>
      <c r="J26" s="6">
        <f t="shared" si="2"/>
        <v>46752</v>
      </c>
      <c r="K26" s="6">
        <f t="shared" si="2"/>
        <v>47118</v>
      </c>
      <c r="L26" s="6">
        <f t="shared" si="2"/>
        <v>47483</v>
      </c>
    </row>
    <row r="27" spans="4:12" ht="15.6" x14ac:dyDescent="0.3">
      <c r="D27" s="4"/>
      <c r="E27" s="4"/>
      <c r="F27" s="4"/>
      <c r="G27" s="4"/>
      <c r="H27" s="4"/>
      <c r="I27" s="4"/>
      <c r="J27" s="4"/>
      <c r="K27" s="4"/>
      <c r="L27" s="4"/>
    </row>
    <row r="28" spans="4:12" ht="15.6" x14ac:dyDescent="0.3">
      <c r="D28" s="5" t="s">
        <v>16</v>
      </c>
      <c r="E28" s="25">
        <v>5648</v>
      </c>
      <c r="F28" s="25">
        <v>5371</v>
      </c>
      <c r="G28" s="24"/>
      <c r="H28" s="23"/>
      <c r="I28" s="23"/>
      <c r="J28" s="23"/>
      <c r="K28" s="23"/>
      <c r="L28" s="23"/>
    </row>
    <row r="29" spans="4:12" ht="15.6" x14ac:dyDescent="0.3">
      <c r="D29" s="5" t="s">
        <v>15</v>
      </c>
      <c r="E29" s="3">
        <v>7470</v>
      </c>
      <c r="F29" s="3">
        <v>7385</v>
      </c>
      <c r="G29" s="14"/>
      <c r="H29" s="12"/>
      <c r="I29" s="12"/>
      <c r="J29" s="12"/>
      <c r="K29" s="12"/>
      <c r="L29" s="12"/>
    </row>
    <row r="30" spans="4:12" ht="15.6" x14ac:dyDescent="0.3">
      <c r="D30" s="11" t="s">
        <v>14</v>
      </c>
      <c r="E30" s="22">
        <f>SUM(E28:E29)</f>
        <v>13118</v>
      </c>
      <c r="F30" s="22">
        <f>SUM(F28:F29)</f>
        <v>12756</v>
      </c>
      <c r="G30" s="21"/>
      <c r="H30" s="21"/>
      <c r="I30" s="21"/>
      <c r="J30" s="21"/>
      <c r="K30" s="21"/>
      <c r="L30" s="21"/>
    </row>
    <row r="31" spans="4:12" ht="15.6" x14ac:dyDescent="0.3">
      <c r="D31" s="4"/>
      <c r="E31" s="4"/>
      <c r="F31" s="4"/>
      <c r="G31" s="4"/>
      <c r="H31" s="4"/>
      <c r="I31" s="4"/>
      <c r="J31" s="4"/>
      <c r="K31" s="4"/>
      <c r="L31" s="4"/>
    </row>
    <row r="32" spans="4:12" ht="15.6" x14ac:dyDescent="0.3">
      <c r="D32" s="5" t="s">
        <v>13</v>
      </c>
      <c r="E32" s="3">
        <v>-4640</v>
      </c>
      <c r="F32" s="3">
        <v>-4439</v>
      </c>
      <c r="G32" s="14"/>
      <c r="H32" s="12"/>
      <c r="I32" s="12"/>
      <c r="J32" s="12"/>
      <c r="K32" s="12"/>
      <c r="L32" s="12"/>
    </row>
    <row r="33" spans="4:12" ht="15.6" x14ac:dyDescent="0.3">
      <c r="D33" s="5" t="s">
        <v>12</v>
      </c>
      <c r="E33" s="3">
        <v>-4652</v>
      </c>
      <c r="F33" s="3">
        <v>-4538</v>
      </c>
      <c r="G33" s="14"/>
      <c r="H33" s="12"/>
      <c r="I33" s="12"/>
      <c r="J33" s="12"/>
      <c r="K33" s="12"/>
      <c r="L33" s="12"/>
    </row>
    <row r="34" spans="4:12" ht="15.6" x14ac:dyDescent="0.3">
      <c r="D34" s="5" t="s">
        <v>11</v>
      </c>
      <c r="E34" s="3">
        <v>-1973</v>
      </c>
      <c r="F34" s="3">
        <v>-2076</v>
      </c>
      <c r="G34" s="14"/>
      <c r="H34" s="12"/>
      <c r="I34" s="12"/>
      <c r="J34" s="12"/>
      <c r="K34" s="12"/>
      <c r="L34" s="12"/>
    </row>
    <row r="35" spans="4:12" ht="15.6" x14ac:dyDescent="0.3">
      <c r="D35" s="11" t="s">
        <v>10</v>
      </c>
      <c r="E35" s="22">
        <f>E30+SUM(E32:E34)</f>
        <v>1853</v>
      </c>
      <c r="F35" s="22">
        <f>F30+SUM(F32:F34)</f>
        <v>1703</v>
      </c>
      <c r="G35" s="21"/>
      <c r="H35" s="21"/>
      <c r="I35" s="21"/>
      <c r="J35" s="21"/>
      <c r="K35" s="21"/>
      <c r="L35" s="21"/>
    </row>
    <row r="36" spans="4:12" ht="15.6" x14ac:dyDescent="0.3">
      <c r="D36" s="4"/>
      <c r="E36" s="4"/>
      <c r="F36" s="4"/>
      <c r="G36" s="4"/>
      <c r="H36" s="4"/>
      <c r="I36" s="4"/>
      <c r="J36" s="4"/>
      <c r="K36" s="4"/>
      <c r="L36" s="4"/>
    </row>
    <row r="37" spans="4:12" ht="15.6" x14ac:dyDescent="0.3">
      <c r="D37" s="5" t="s">
        <v>9</v>
      </c>
      <c r="E37" s="3">
        <v>-39</v>
      </c>
      <c r="F37" s="3">
        <v>-64</v>
      </c>
      <c r="G37" s="14"/>
      <c r="H37" s="13">
        <f>G37</f>
        <v>0</v>
      </c>
      <c r="I37" s="13">
        <f>H37</f>
        <v>0</v>
      </c>
      <c r="J37" s="12"/>
      <c r="K37" s="12"/>
      <c r="L37" s="12"/>
    </row>
    <row r="38" spans="4:12" ht="15.6" x14ac:dyDescent="0.3">
      <c r="D38" s="5" t="s">
        <v>8</v>
      </c>
      <c r="E38" s="3">
        <v>33</v>
      </c>
      <c r="F38" s="3">
        <v>-6</v>
      </c>
      <c r="G38" s="14"/>
      <c r="H38" s="13">
        <f>G38</f>
        <v>0</v>
      </c>
      <c r="I38" s="13">
        <f>H38</f>
        <v>0</v>
      </c>
      <c r="J38" s="12"/>
      <c r="K38" s="12"/>
      <c r="L38" s="12"/>
    </row>
    <row r="39" spans="4:12" ht="15.6" x14ac:dyDescent="0.3">
      <c r="D39" s="5" t="s">
        <v>7</v>
      </c>
      <c r="E39" s="3">
        <v>14</v>
      </c>
      <c r="F39" s="3">
        <v>-122</v>
      </c>
      <c r="G39" s="14"/>
      <c r="H39" s="13">
        <f>-H24*G49</f>
        <v>-181.82500000000002</v>
      </c>
      <c r="I39" s="13">
        <f>-I24*H49</f>
        <v>-210.74419926079796</v>
      </c>
      <c r="J39" s="12"/>
      <c r="K39" s="12"/>
      <c r="L39" s="12"/>
    </row>
    <row r="40" spans="4:12" ht="15.6" x14ac:dyDescent="0.3">
      <c r="D40" s="11" t="s">
        <v>6</v>
      </c>
      <c r="E40" s="22">
        <f>E35+SUM(E37:E39)</f>
        <v>1861</v>
      </c>
      <c r="F40" s="22">
        <f>F35+SUM(F37:F39)</f>
        <v>1511</v>
      </c>
      <c r="G40" s="21"/>
      <c r="H40" s="22">
        <f>H35+SUM(H37:H39)</f>
        <v>-181.82500000000002</v>
      </c>
      <c r="I40" s="22">
        <f>I35+SUM(I37:I39)</f>
        <v>-210.74419926079796</v>
      </c>
      <c r="J40" s="21"/>
      <c r="K40" s="21"/>
      <c r="L40" s="21"/>
    </row>
    <row r="41" spans="4:12" ht="15.6" x14ac:dyDescent="0.3">
      <c r="D41" s="4"/>
      <c r="E41" s="4"/>
      <c r="F41" s="4"/>
      <c r="G41" s="4"/>
      <c r="H41" s="4"/>
      <c r="I41" s="4"/>
      <c r="J41" s="4"/>
      <c r="K41" s="4"/>
      <c r="L41" s="4"/>
    </row>
    <row r="42" spans="4:12" ht="15.6" x14ac:dyDescent="0.3">
      <c r="D42" s="20" t="s">
        <v>5</v>
      </c>
      <c r="E42" s="3">
        <v>-594</v>
      </c>
      <c r="F42" s="3">
        <v>-455</v>
      </c>
      <c r="G42" s="19"/>
      <c r="H42" s="4">
        <f>-H40*H21</f>
        <v>0</v>
      </c>
      <c r="I42" s="4">
        <f>-I40*I21</f>
        <v>0</v>
      </c>
      <c r="J42" s="18"/>
      <c r="K42" s="18"/>
      <c r="L42" s="18"/>
    </row>
    <row r="43" spans="4:12" ht="15.6" x14ac:dyDescent="0.3">
      <c r="D43" s="4"/>
      <c r="E43" s="4"/>
      <c r="F43" s="4"/>
      <c r="G43" s="4"/>
      <c r="H43" s="4"/>
      <c r="I43" s="4"/>
      <c r="J43" s="4"/>
      <c r="K43" s="4"/>
      <c r="L43" s="4"/>
    </row>
    <row r="44" spans="4:12" ht="15.6" x14ac:dyDescent="0.3">
      <c r="D44" s="17" t="s">
        <v>4</v>
      </c>
      <c r="E44" s="16">
        <f>E40+E42</f>
        <v>1267</v>
      </c>
      <c r="F44" s="16">
        <f>F40+F42</f>
        <v>1056</v>
      </c>
      <c r="G44" s="15"/>
      <c r="H44" s="16">
        <f>H40+H42</f>
        <v>-181.82500000000002</v>
      </c>
      <c r="I44" s="16">
        <f>I40+I42</f>
        <v>-210.74419926079796</v>
      </c>
      <c r="J44" s="15"/>
      <c r="K44" s="15"/>
      <c r="L44" s="15"/>
    </row>
    <row r="45" spans="4:12" ht="15.6" x14ac:dyDescent="0.3">
      <c r="D45" s="5" t="s">
        <v>3</v>
      </c>
      <c r="E45" s="3">
        <v>-151</v>
      </c>
      <c r="F45" s="3">
        <v>-150</v>
      </c>
      <c r="G45" s="14"/>
      <c r="H45" s="13">
        <f>-H44*H22</f>
        <v>0</v>
      </c>
      <c r="I45" s="13">
        <f>-I44*I22</f>
        <v>0</v>
      </c>
      <c r="J45" s="12"/>
      <c r="K45" s="12"/>
      <c r="L45" s="12"/>
    </row>
    <row r="46" spans="4:12" ht="15.6" x14ac:dyDescent="0.3">
      <c r="D46" s="11" t="s">
        <v>2</v>
      </c>
      <c r="E46" s="10">
        <f>SUM(E44:E45)</f>
        <v>1116</v>
      </c>
      <c r="F46" s="10">
        <f>SUM(F44:F45)</f>
        <v>906</v>
      </c>
      <c r="G46" s="9"/>
      <c r="H46" s="10">
        <f>SUM(H44:H45)</f>
        <v>-181.82500000000002</v>
      </c>
      <c r="I46" s="10">
        <f>SUM(I44:I45)</f>
        <v>-210.74419926079796</v>
      </c>
      <c r="J46" s="9"/>
      <c r="K46" s="9"/>
      <c r="L46" s="9"/>
    </row>
    <row r="47" spans="4:12" ht="15.6" x14ac:dyDescent="0.3">
      <c r="D47" s="8"/>
      <c r="E47" s="8"/>
      <c r="F47" s="8"/>
      <c r="G47" s="8"/>
      <c r="H47" s="8"/>
      <c r="I47" s="8"/>
      <c r="J47" s="8"/>
      <c r="K47" s="8"/>
      <c r="L47" s="8"/>
    </row>
    <row r="48" spans="4:12" ht="15.6" x14ac:dyDescent="0.3">
      <c r="D48" s="7" t="s">
        <v>1</v>
      </c>
      <c r="E48" s="6"/>
      <c r="F48" s="6"/>
      <c r="G48" s="6"/>
      <c r="H48" s="6"/>
      <c r="I48" s="6"/>
      <c r="J48" s="6"/>
      <c r="K48" s="6"/>
      <c r="L48" s="6"/>
    </row>
    <row r="49" spans="4:12" ht="15.6" x14ac:dyDescent="0.3">
      <c r="D49" s="5" t="s">
        <v>0</v>
      </c>
      <c r="E49" s="4"/>
      <c r="F49" s="3">
        <v>5963</v>
      </c>
      <c r="G49" s="3">
        <v>7273</v>
      </c>
      <c r="H49" s="2">
        <v>7024.8066420265986</v>
      </c>
      <c r="I49" s="2">
        <v>6871.4853528788808</v>
      </c>
      <c r="J49" s="2">
        <v>6714.6140347637775</v>
      </c>
      <c r="K49" s="2">
        <v>6551.7914742967541</v>
      </c>
      <c r="L49" s="2">
        <v>6383.1470415053973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68A8-D000-49CF-8001-39DD4B544E12}">
  <dimension ref="B1:L33"/>
  <sheetViews>
    <sheetView showGridLines="0" workbookViewId="0"/>
  </sheetViews>
  <sheetFormatPr defaultRowHeight="13.8" x14ac:dyDescent="0.3"/>
  <cols>
    <col min="1" max="3" width="2.88671875" style="1" customWidth="1"/>
    <col min="4" max="4" width="18.5546875" style="1" customWidth="1"/>
    <col min="5" max="5" width="15.6640625" style="1" bestFit="1" customWidth="1"/>
    <col min="6" max="6" width="15.33203125" style="1" bestFit="1" customWidth="1"/>
    <col min="7" max="7" width="11.109375" style="1" bestFit="1" customWidth="1"/>
    <col min="8" max="8" width="15.33203125" style="1" bestFit="1" customWidth="1"/>
    <col min="9" max="9" width="12.109375" style="1" bestFit="1" customWidth="1"/>
    <col min="10" max="10" width="12.88671875" style="1" bestFit="1" customWidth="1"/>
    <col min="11" max="16384" width="8.88671875" style="1"/>
  </cols>
  <sheetData>
    <row r="1" spans="2:12" s="38" customFormat="1" ht="18" x14ac:dyDescent="0.35">
      <c r="B1" s="40" t="e" vm="1">
        <v>#VALUE!</v>
      </c>
      <c r="D1" s="39" t="s">
        <v>57</v>
      </c>
    </row>
    <row r="3" spans="2:12" ht="14.4" x14ac:dyDescent="0.3">
      <c r="D3" s="55" t="s">
        <v>56</v>
      </c>
      <c r="E3" s="55"/>
      <c r="F3" s="55"/>
      <c r="G3" s="43"/>
      <c r="H3" s="43"/>
      <c r="I3" s="43"/>
      <c r="J3" s="46">
        <v>2022</v>
      </c>
      <c r="K3" s="46">
        <v>2023</v>
      </c>
      <c r="L3" s="46">
        <v>2024</v>
      </c>
    </row>
    <row r="4" spans="2:12" ht="14.4" x14ac:dyDescent="0.3">
      <c r="D4" s="43" t="s">
        <v>55</v>
      </c>
      <c r="E4" s="43"/>
      <c r="F4" s="43"/>
      <c r="G4" s="43"/>
      <c r="H4" s="43"/>
      <c r="I4" s="43"/>
      <c r="J4" s="43"/>
      <c r="K4" s="43"/>
      <c r="L4" s="43"/>
    </row>
    <row r="5" spans="2:12" ht="14.4" x14ac:dyDescent="0.3">
      <c r="D5" s="43" t="s">
        <v>54</v>
      </c>
      <c r="E5" s="43"/>
      <c r="F5" s="43"/>
      <c r="G5" s="43"/>
      <c r="H5" s="43"/>
      <c r="I5" s="43"/>
      <c r="J5" s="48">
        <v>5648</v>
      </c>
      <c r="K5" s="48">
        <v>5371</v>
      </c>
      <c r="L5" s="47">
        <v>6428</v>
      </c>
    </row>
    <row r="6" spans="2:12" ht="14.4" x14ac:dyDescent="0.3">
      <c r="D6" s="43" t="s">
        <v>53</v>
      </c>
      <c r="E6" s="43"/>
      <c r="F6" s="43"/>
      <c r="G6" s="43"/>
      <c r="H6" s="43"/>
      <c r="I6" s="43"/>
      <c r="J6" s="50">
        <v>7470</v>
      </c>
      <c r="K6" s="50">
        <v>7385</v>
      </c>
      <c r="L6" s="49">
        <v>7870</v>
      </c>
    </row>
    <row r="7" spans="2:12" ht="14.4" x14ac:dyDescent="0.3">
      <c r="D7" s="43"/>
      <c r="E7" s="43"/>
      <c r="F7" s="43"/>
      <c r="G7" s="43"/>
      <c r="H7" s="43"/>
      <c r="I7" s="43"/>
      <c r="J7" s="54">
        <v>13118</v>
      </c>
      <c r="K7" s="54">
        <v>12756</v>
      </c>
      <c r="L7" s="52">
        <v>14298</v>
      </c>
    </row>
    <row r="8" spans="2:12" ht="14.4" x14ac:dyDescent="0.3">
      <c r="D8" s="43" t="s">
        <v>52</v>
      </c>
      <c r="E8" s="43"/>
      <c r="F8" s="43"/>
      <c r="G8" s="43"/>
      <c r="H8" s="43"/>
      <c r="I8" s="43"/>
      <c r="J8" s="43"/>
      <c r="K8" s="43"/>
      <c r="L8" s="43"/>
    </row>
    <row r="9" spans="2:12" ht="14.4" x14ac:dyDescent="0.3">
      <c r="D9" s="43" t="s">
        <v>51</v>
      </c>
      <c r="E9" s="43"/>
      <c r="F9" s="43"/>
      <c r="G9" s="43"/>
      <c r="H9" s="43"/>
      <c r="I9" s="43"/>
      <c r="J9" s="50">
        <v>4640</v>
      </c>
      <c r="K9" s="50">
        <v>4439</v>
      </c>
      <c r="L9" s="49">
        <v>5293</v>
      </c>
    </row>
    <row r="10" spans="2:12" ht="14.4" x14ac:dyDescent="0.3">
      <c r="D10" s="43" t="s">
        <v>50</v>
      </c>
      <c r="E10" s="43"/>
      <c r="F10" s="43"/>
      <c r="G10" s="43"/>
      <c r="H10" s="43"/>
      <c r="I10" s="43"/>
      <c r="J10" s="50">
        <v>4652</v>
      </c>
      <c r="K10" s="50">
        <v>4538</v>
      </c>
      <c r="L10" s="49">
        <v>4812</v>
      </c>
    </row>
    <row r="11" spans="2:12" ht="14.4" x14ac:dyDescent="0.3">
      <c r="D11" s="43" t="s">
        <v>49</v>
      </c>
      <c r="E11" s="43"/>
      <c r="F11" s="43"/>
      <c r="G11" s="43"/>
      <c r="H11" s="43"/>
      <c r="I11" s="43"/>
      <c r="J11" s="50">
        <v>163</v>
      </c>
      <c r="K11" s="50">
        <v>152</v>
      </c>
      <c r="L11" s="49">
        <v>159</v>
      </c>
    </row>
    <row r="12" spans="2:12" ht="14.4" x14ac:dyDescent="0.3">
      <c r="D12" s="43" t="s">
        <v>48</v>
      </c>
      <c r="E12" s="43"/>
      <c r="F12" s="43"/>
      <c r="G12" s="43"/>
      <c r="H12" s="43"/>
      <c r="I12" s="43"/>
      <c r="J12" s="50">
        <v>1810</v>
      </c>
      <c r="K12" s="50">
        <v>1924</v>
      </c>
      <c r="L12" s="49">
        <v>1948</v>
      </c>
    </row>
    <row r="13" spans="2:12" ht="14.4" x14ac:dyDescent="0.3">
      <c r="D13" s="43"/>
      <c r="E13" s="43"/>
      <c r="F13" s="43"/>
      <c r="G13" s="43"/>
      <c r="H13" s="43"/>
      <c r="I13" s="43"/>
      <c r="J13" s="50">
        <v>11265</v>
      </c>
      <c r="K13" s="50">
        <v>11053</v>
      </c>
      <c r="L13" s="49">
        <v>12212</v>
      </c>
    </row>
    <row r="14" spans="2:12" ht="14.4" x14ac:dyDescent="0.3">
      <c r="D14" s="43" t="s">
        <v>47</v>
      </c>
      <c r="E14" s="43"/>
      <c r="F14" s="43"/>
      <c r="G14" s="43"/>
      <c r="H14" s="43"/>
      <c r="I14" s="43"/>
      <c r="J14" s="53">
        <v>-39</v>
      </c>
      <c r="K14" s="53">
        <v>-64</v>
      </c>
      <c r="L14" s="52">
        <v>22</v>
      </c>
    </row>
    <row r="15" spans="2:12" ht="14.4" x14ac:dyDescent="0.3">
      <c r="D15" s="43" t="s">
        <v>46</v>
      </c>
      <c r="E15" s="43"/>
      <c r="F15" s="43"/>
      <c r="G15" s="43"/>
      <c r="H15" s="43"/>
      <c r="I15" s="43"/>
      <c r="J15" s="50">
        <v>1814</v>
      </c>
      <c r="K15" s="50">
        <v>1639</v>
      </c>
      <c r="L15" s="49">
        <v>2108</v>
      </c>
    </row>
    <row r="16" spans="2:12" ht="14.4" x14ac:dyDescent="0.3">
      <c r="D16" s="43" t="s">
        <v>45</v>
      </c>
      <c r="E16" s="43"/>
      <c r="F16" s="43"/>
      <c r="G16" s="43"/>
      <c r="H16" s="43"/>
      <c r="I16" s="43"/>
      <c r="J16" s="51">
        <v>-33</v>
      </c>
      <c r="K16" s="50">
        <v>6</v>
      </c>
      <c r="L16" s="49">
        <v>11</v>
      </c>
    </row>
    <row r="17" spans="4:12" ht="14.4" x14ac:dyDescent="0.3">
      <c r="D17" s="43" t="s">
        <v>44</v>
      </c>
      <c r="E17" s="43"/>
      <c r="F17" s="43"/>
      <c r="G17" s="43"/>
      <c r="H17" s="43"/>
      <c r="I17" s="43"/>
      <c r="J17" s="51">
        <v>-14</v>
      </c>
      <c r="K17" s="50">
        <v>122</v>
      </c>
      <c r="L17" s="49">
        <v>136</v>
      </c>
    </row>
    <row r="18" spans="4:12" ht="14.4" x14ac:dyDescent="0.3">
      <c r="D18" s="43" t="s">
        <v>43</v>
      </c>
      <c r="E18" s="43"/>
      <c r="F18" s="43"/>
      <c r="G18" s="43"/>
      <c r="H18" s="43"/>
      <c r="I18" s="43"/>
      <c r="J18" s="50">
        <v>1861</v>
      </c>
      <c r="K18" s="50">
        <v>1511</v>
      </c>
      <c r="L18" s="49">
        <v>1961</v>
      </c>
    </row>
    <row r="19" spans="4:12" ht="14.4" x14ac:dyDescent="0.3">
      <c r="D19" s="43" t="s">
        <v>42</v>
      </c>
      <c r="E19" s="43"/>
      <c r="F19" s="43"/>
      <c r="G19" s="43"/>
      <c r="H19" s="43"/>
      <c r="I19" s="43"/>
      <c r="J19" s="50">
        <v>594</v>
      </c>
      <c r="K19" s="50">
        <v>455</v>
      </c>
      <c r="L19" s="49">
        <v>541</v>
      </c>
    </row>
    <row r="20" spans="4:12" ht="14.4" x14ac:dyDescent="0.3">
      <c r="D20" s="43" t="s">
        <v>41</v>
      </c>
      <c r="E20" s="43"/>
      <c r="F20" s="43"/>
      <c r="G20" s="43"/>
      <c r="H20" s="43"/>
      <c r="I20" s="43"/>
      <c r="J20" s="50">
        <v>1267</v>
      </c>
      <c r="K20" s="50">
        <v>1056</v>
      </c>
      <c r="L20" s="49">
        <v>1420</v>
      </c>
    </row>
    <row r="21" spans="4:12" ht="14.4" x14ac:dyDescent="0.3">
      <c r="D21" s="43" t="s">
        <v>40</v>
      </c>
      <c r="E21" s="43"/>
      <c r="F21" s="43"/>
      <c r="G21" s="43"/>
      <c r="H21" s="43"/>
      <c r="I21" s="43"/>
      <c r="J21" s="50">
        <v>151</v>
      </c>
      <c r="K21" s="50">
        <v>150</v>
      </c>
      <c r="L21" s="49">
        <v>174</v>
      </c>
    </row>
    <row r="22" spans="4:12" ht="14.4" x14ac:dyDescent="0.3">
      <c r="D22" s="46" t="s">
        <v>39</v>
      </c>
      <c r="E22" s="46"/>
      <c r="F22" s="46"/>
      <c r="G22" s="43"/>
      <c r="H22" s="43"/>
      <c r="I22" s="43"/>
      <c r="J22" s="48">
        <v>1116</v>
      </c>
      <c r="K22" s="48">
        <v>906</v>
      </c>
      <c r="L22" s="47">
        <v>1246</v>
      </c>
    </row>
    <row r="26" spans="4:12" ht="14.4" x14ac:dyDescent="0.3">
      <c r="D26" s="46" t="s">
        <v>38</v>
      </c>
      <c r="E26" s="46"/>
      <c r="F26" s="46"/>
      <c r="G26" s="43"/>
      <c r="H26" s="43"/>
      <c r="I26" s="43"/>
      <c r="J26" s="43"/>
      <c r="K26" s="43"/>
      <c r="L26" s="43"/>
    </row>
    <row r="28" spans="4:12" ht="14.4" x14ac:dyDescent="0.3">
      <c r="D28" s="43" t="s">
        <v>37</v>
      </c>
      <c r="E28" s="43"/>
      <c r="F28" s="43"/>
      <c r="G28" s="43"/>
      <c r="H28" s="43"/>
      <c r="I28" s="43"/>
      <c r="J28" s="45">
        <v>2.5499999999999998</v>
      </c>
      <c r="K28" s="45">
        <v>2.09</v>
      </c>
      <c r="L28" s="44">
        <v>2.91</v>
      </c>
    </row>
    <row r="30" spans="4:12" ht="14.4" x14ac:dyDescent="0.3">
      <c r="D30" s="43" t="s">
        <v>36</v>
      </c>
      <c r="E30" s="43"/>
      <c r="F30" s="43"/>
      <c r="G30" s="43"/>
      <c r="H30" s="43"/>
      <c r="I30" s="43"/>
      <c r="J30" s="45">
        <v>2.5499999999999998</v>
      </c>
      <c r="K30" s="45">
        <v>2.08</v>
      </c>
      <c r="L30" s="44">
        <v>2.89</v>
      </c>
    </row>
    <row r="31" spans="4:12" ht="14.4" x14ac:dyDescent="0.3">
      <c r="D31" s="43" t="s">
        <v>35</v>
      </c>
      <c r="E31" s="43"/>
      <c r="F31" s="43"/>
      <c r="G31" s="43"/>
      <c r="H31" s="43"/>
      <c r="I31" s="43"/>
      <c r="J31" s="43"/>
      <c r="K31" s="43"/>
      <c r="L31" s="43"/>
    </row>
    <row r="32" spans="4:12" ht="14.4" x14ac:dyDescent="0.3">
      <c r="D32" s="43" t="s">
        <v>34</v>
      </c>
      <c r="E32" s="43"/>
      <c r="F32" s="43"/>
      <c r="G32" s="43"/>
      <c r="H32" s="43"/>
      <c r="I32" s="43"/>
      <c r="J32" s="42">
        <v>433.1</v>
      </c>
      <c r="K32" s="42">
        <v>433.2</v>
      </c>
      <c r="L32" s="41">
        <v>427.7</v>
      </c>
    </row>
    <row r="33" spans="4:12" ht="14.4" x14ac:dyDescent="0.3">
      <c r="D33" s="43" t="s">
        <v>33</v>
      </c>
      <c r="E33" s="43"/>
      <c r="F33" s="43"/>
      <c r="G33" s="43"/>
      <c r="H33" s="43"/>
      <c r="I33" s="43"/>
      <c r="J33" s="42">
        <v>433.1</v>
      </c>
      <c r="K33" s="42">
        <v>434.6</v>
      </c>
      <c r="L33" s="41">
        <v>431.4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 Inputs</vt:lpstr>
      <vt:lpstr>Source 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2025-12-08T20:14:14Z</dcterms:created>
  <dcterms:modified xsi:type="dcterms:W3CDTF">2025-12-08T20:15:33Z</dcterms:modified>
</cp:coreProperties>
</file>